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61c8deb46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283e1b734ae4db3"/>
    <x:sheet xmlns:r="http://schemas.openxmlformats.org/officeDocument/2006/relationships" name="Goals" sheetId="2" r:id="R90f62acfac5f4928"/>
    <x:sheet xmlns:r="http://schemas.openxmlformats.org/officeDocument/2006/relationships" name="Campaigns" sheetId="3" r:id="Re1f115aebdfc4442"/>
    <x:sheet xmlns:r="http://schemas.openxmlformats.org/officeDocument/2006/relationships" name="Queue Snapshot" sheetId="4" r:id="R55b999ea957a4aaf"/>
    <x:sheet xmlns:r="http://schemas.openxmlformats.org/officeDocument/2006/relationships" name="Proof Snapshot" sheetId="5" r:id="R693d641967834497"/>
    <x:sheet xmlns:r="http://schemas.openxmlformats.org/officeDocument/2006/relationships" name="Stage Definitions" sheetId="6" r:id="R893cb192182549d1"/>
    <x:sheet xmlns:r="http://schemas.openxmlformats.org/officeDocument/2006/relationships" name="Next Actions" sheetId="7" r:id="R8be2ccb771a047b9"/>
    <x:sheet xmlns:r="http://schemas.openxmlformats.org/officeDocument/2006/relationships" name="Large Scale" sheetId="8" r:id="R166a4d84b771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4"/>
      <x:color rgb="FF375623"/>
      <x:name val="Carlito"/>
    </x:font>
    <x:font>
      <x:b/>
      <x:sz val="11"/>
      <x:color rgb="FF1F2937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vertical="top" wrapText="1"/>
    </x:xf>
    <x:xf numFmtId="0" fontId="9" fillId="2" borderId="2" xfId="0" applyNumberFormat="1" applyFont="1" applyFill="1" applyBorder="1" applyAlignment="1">
      <x:alignment vertical="top" wrapText="1"/>
    </x:xf>
    <x:xf numFmtId="0" fontId="9" fillId="2" borderId="3" xfId="0" applyNumberFormat="1" applyFont="1" applyFill="1" applyBorder="1" applyAlignment="1">
      <x:alignment vertical="top" wrapText="1"/>
    </x:xf>
    <x:xf numFmtId="0" fontId="9" fillId="2" borderId="3" xfId="0" applyNumberFormat="1" applyFont="1" applyFill="1" applyBorder="1" applyAlignment="1">
      <x:alignment horizontal="center" vertical="top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4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horizontal="center" vertical="top" wrapText="1"/>
    </x:xf>
    <x:xf numFmtId="0" fontId="8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abc8a77da4f74" /><Relationship Type="http://schemas.openxmlformats.org/officeDocument/2006/relationships/theme" Target="/xl/theme/theme1.xml" Id="R94a5f31e090441ab" /><Relationship Type="http://schemas.openxmlformats.org/officeDocument/2006/relationships/sharedStrings" Target="/xl/sharedStrings.xml" Id="Re52a77dd32a84d94" /><Relationship Type="http://schemas.openxmlformats.org/officeDocument/2006/relationships/worksheet" Target="/xl/worksheets/sheet1.xml" Id="R2283e1b734ae4db3" /><Relationship Type="http://schemas.openxmlformats.org/officeDocument/2006/relationships/worksheet" Target="/xl/worksheets/sheet2.xml" Id="R90f62acfac5f4928" /><Relationship Type="http://schemas.openxmlformats.org/officeDocument/2006/relationships/worksheet" Target="/xl/worksheets/sheet3.xml" Id="Re1f115aebdfc4442" /><Relationship Type="http://schemas.openxmlformats.org/officeDocument/2006/relationships/worksheet" Target="/xl/worksheets/sheet4.xml" Id="R55b999ea957a4aaf" /><Relationship Type="http://schemas.openxmlformats.org/officeDocument/2006/relationships/worksheet" Target="/xl/worksheets/sheet5.xml" Id="R693d641967834497" /><Relationship Type="http://schemas.openxmlformats.org/officeDocument/2006/relationships/worksheet" Target="/xl/worksheets/sheet6.xml" Id="R893cb192182549d1" /><Relationship Type="http://schemas.openxmlformats.org/officeDocument/2006/relationships/worksheet" Target="/xl/worksheets/sheet7.xml" Id="R8be2ccb771a047b9" /><Relationship Type="http://schemas.openxmlformats.org/officeDocument/2006/relationships/worksheet" Target="/xl/worksheets/sheet8.xml" Id="R166a4d84b7714e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8" customHeight="1">
      <x:c r="A1" s="4" t="str">
        <x:v>EVSP-DR RESEARCH CONTROL TOWER</x:v>
      </x:c>
      <x:c r="B1" s="4" t="str">
        <x:v>EVSP-DR RESEARCH CONTROL TOWER</x:v>
      </x:c>
      <x:c r="C1" s="4" t="str">
        <x:v>EVSP-DR RESEARCH CONTROL TOWER</x:v>
      </x:c>
      <x:c r="D1" s="4" t="str">
        <x:v>EVSP-DR RESEARCH CONTROL TOWER</x:v>
      </x:c>
      <x:c r="E1" s="4" t="str">
        <x:v>EVSP-DR RESEARCH CONTROL TOWER</x:v>
      </x:c>
      <x:c r="F1" s="4" t="str">
        <x:v>EVSP-DR RESEARCH CONTROL TOWER</x:v>
      </x:c>
      <x:c r="G1" s="4" t="str">
        <x:v>EVSP-DR RESEARCH CONTROL TOWER</x:v>
      </x:c>
      <x:c r="H1" s="4" t="str">
        <x:v>EVSP-DR RESEARCH CONTROL TOWER</x:v>
      </x:c>
    </x:row>
    <x:row r="2" ht="28" customHeight="1">
      <x:c r="A2" s="4" t="str">
        <x:v>EVSP-DR RESEARCH CONTROL TOWER</x:v>
      </x:c>
      <x:c r="B2" s="4" t="str">
        <x:v>EVSP-DR RESEARCH CONTROL TOWER</x:v>
      </x:c>
      <x:c r="C2" s="4" t="str">
        <x:v>EVSP-DR RESEARCH CONTROL TOWER</x:v>
      </x:c>
      <x:c r="D2" s="4" t="str">
        <x:v>EVSP-DR RESEARCH CONTROL TOWER</x:v>
      </x:c>
      <x:c r="E2" s="4" t="str">
        <x:v>EVSP-DR RESEARCH CONTROL TOWER</x:v>
      </x:c>
      <x:c r="F2" s="4" t="str">
        <x:v>EVSP-DR RESEARCH CONTROL TOWER</x:v>
      </x:c>
      <x:c r="G2" s="4" t="str">
        <x:v>EVSP-DR RESEARCH CONTROL TOWER</x:v>
      </x:c>
      <x:c r="H2" s="4" t="str">
        <x:v>EVSP-DR RESEARCH CONTROL TOWER</x:v>
      </x:c>
    </x:row>
    <x:row r="3">
      <x:c r="A3" s="7" t="str">
        <x:v>Frozen 2026-08-30 • committed proof ≠ provisional audit ≠ live queue state</x:v>
      </x:c>
      <x:c r="B3" s="7" t="str">
        <x:v>Frozen 2026-08-30 • committed proof ≠ provisional audit ≠ live queue state</x:v>
      </x:c>
      <x:c r="C3" s="7" t="str">
        <x:v>Frozen 2026-08-30 • committed proof ≠ provisional audit ≠ live queue state</x:v>
      </x:c>
      <x:c r="D3" s="7" t="str">
        <x:v>Frozen 2026-08-30 • committed proof ≠ provisional audit ≠ live queue state</x:v>
      </x:c>
      <x:c r="E3" s="7" t="str">
        <x:v>Frozen 2026-08-30 • committed proof ≠ provisional audit ≠ live queue state</x:v>
      </x:c>
      <x:c r="F3" s="7" t="str">
        <x:v>Frozen 2026-08-30 • committed proof ≠ provisional audit ≠ live queue state</x:v>
      </x:c>
      <x:c r="G3" s="7" t="str">
        <x:v>Frozen 2026-08-30 • committed proof ≠ provisional audit ≠ live queue state</x:v>
      </x:c>
      <x:c r="H3" s="7" t="str">
        <x:v>Frozen 2026-08-30 • committed proof ≠ provisional audit ≠ live queue state</x:v>
      </x:c>
    </x:row>
    <x:row r="5">
      <x:c r="A5" s="9" t="str">
        <x:v>Queue KPIs</x:v>
      </x:c>
      <x:c r="B5" s="9"/>
      <x:c r="C5" s="9" t="str">
        <x:v>Committed core proof</x:v>
      </x:c>
      <x:c r="D5" s="9"/>
      <x:c r="E5" s="9" t="str">
        <x:v>Research goals</x:v>
      </x:c>
      <x:c r="F5" s="9"/>
      <x:c r="G5" s="9" t="str">
        <x:v>Control rule</x:v>
      </x:c>
      <x:c r="H5" s="9"/>
    </x:row>
    <x:row r="6" ht="28" customHeight="1">
      <x:c r="A6" s="15" t="str">
        <x:v>Launched tasks</x:v>
      </x:c>
      <x:c r="B6" s="19" t="str">
        <x:f>'Queue Snapshot'!E10</x:f>
        <x:v>39</x:v>
      </x:c>
      <x:c r="C6" s="15" t="str">
        <x:v>L_model</x:v>
      </x:c>
      <x:c r="D6" s="23" t="str">
        <x:f>'Proof Snapshot'!F2</x:f>
        <x:v>9</x:v>
      </x:c>
      <x:c r="E6" s="15" t="str">
        <x:v>Total goals</x:v>
      </x:c>
      <x:c r="F6" s="24" t="n">
        <x:f>COUNTA(Goals!A2:A5)</x:f>
        <x:v>4</x:v>
      </x:c>
      <x:c r="G6" s="25" t="str">
        <x:v>S1 CG is not an integer proof</x:v>
      </x:c>
      <x:c r="H6" s="25"/>
    </x:row>
    <x:row r="7" ht="28" customHeight="1">
      <x:c r="A7" s="15" t="str">
        <x:v>Active tasks</x:v>
      </x:c>
      <x:c r="B7" s="19" t="str">
        <x:f>'Queue Snapshot'!F10</x:f>
        <x:v>26</x:v>
      </x:c>
      <x:c r="C7" s="15" t="str">
        <x:v>I_model</x:v>
      </x:c>
      <x:c r="D7" s="23" t="str">
        <x:f>'Proof Snapshot'!G2</x:f>
        <x:v>9</x:v>
      </x:c>
      <x:c r="E7" s="15" t="str">
        <x:v>Core goal state</x:v>
      </x:c>
      <x:c r="F7" s="24" t="str">
        <x:f>Goals!D2</x:f>
        <x:v>core_achieved_replication_in_progress</x:v>
      </x:c>
      <x:c r="G7" s="25" t="str">
        <x:v>Empty squeue is not completion</x:v>
      </x:c>
      <x:c r="H7" s="25"/>
    </x:row>
    <x:row r="8" ht="28" customHeight="1">
      <x:c r="A8" s="15" t="str">
        <x:v>Absent / unaudited</x:v>
      </x:c>
      <x:c r="B8" s="19" t="str">
        <x:f>'Queue Snapshot'!G10</x:f>
        <x:v>13</x:v>
      </x:c>
      <x:c r="C8" s="15" t="str">
        <x:v>I_pool</x:v>
      </x:c>
      <x:c r="D8" s="23" t="str">
        <x:f>'Proof Snapshot'!H2</x:f>
        <x:v>7</x:v>
      </x:c>
      <x:c r="E8" s="15" t="str">
        <x:v>Medium state</x:v>
      </x:c>
      <x:c r="F8" s="24" t="str">
        <x:f>Goals!D3</x:f>
        <x:v>probes_running</x:v>
      </x:c>
      <x:c r="G8" s="25" t="str">
        <x:v>Keep 240/240 separate from 300/300</x:v>
      </x:c>
      <x:c r="H8" s="25"/>
    </x:row>
    <x:row r="9" ht="28" customHeight="1">
      <x:c r="A9" s="15" t="str">
        <x:v>Active fraction</x:v>
      </x:c>
      <x:c r="B9" s="20" t="n">
        <x:f>B7/B6</x:f>
        <x:v>0.6666666666666666</x:v>
      </x:c>
      <x:c r="C9" s="15" t="str">
        <x:v>Core cells</x:v>
      </x:c>
      <x:c r="D9" s="23" t="str">
        <x:f>'Proof Snapshot'!E2</x:f>
        <x:v>9</x:v>
      </x:c>
      <x:c r="E9" s="15" t="str">
        <x:v>Large state</x:v>
      </x:c>
      <x:c r="F9" s="24" t="str">
        <x:f>Goals!D5</x:f>
        <x:v>boundary_probes_running</x:v>
      </x:c>
      <x:c r="G9" s="25" t="str">
        <x:v>Update proof counts only after validation</x:v>
      </x:c>
      <x:c r="H9" s="25"/>
    </x:row>
    <x:row r="11">
      <x:c r="A11" s="8" t="str">
        <x:v>Publication-goal status</x:v>
      </x:c>
      <x:c r="B11" s="8" t="str">
        <x:v>Publication-goal status</x:v>
      </x:c>
      <x:c r="C11" s="8" t="str">
        <x:v>Publication-goal status</x:v>
      </x:c>
      <x:c r="D11" s="8" t="str">
        <x:v>Publication-goal status</x:v>
      </x:c>
      <x:c r="E11" s="8" t="str">
        <x:v>Publication-goal status</x:v>
      </x:c>
      <x:c r="F11" s="8" t="str">
        <x:v>Publication-goal status</x:v>
      </x:c>
      <x:c r="G11" s="8" t="str">
        <x:v>Publication-goal status</x:v>
      </x:c>
      <x:c r="H11" s="8" t="str">
        <x:v>Publication-goal status</x:v>
      </x:c>
    </x:row>
    <x:row r="12">
      <x:c r="A12" s="27" t="str">
        <x:v>Goal</x:v>
      </x:c>
      <x:c r="B12" s="27" t="str">
        <x:v>State</x:v>
      </x:c>
      <x:c r="C12" s="27" t="str">
        <x:v>Current evidence</x:v>
      </x:c>
      <x:c r="D12" s="27"/>
      <x:c r="E12" s="27"/>
      <x:c r="F12" s="27" t="str">
        <x:v>Next gate</x:v>
      </x:c>
      <x:c r="G12" s="27"/>
      <x:c r="H12" s="27"/>
    </x:row>
    <x:row r="13" ht="52" customHeight="1">
      <x:c r="A13" s="30" t="str">
        <x:v>G1 Small correctness</x:v>
      </x:c>
      <x:c r="B13" s="31" t="str">
        <x:f>Goals!D2</x:f>
        <x:v>core_achieved_replication_in_progress</x:v>
      </x:c>
      <x:c r="C13" s="30" t="str">
        <x:f>Goals!E2</x:f>
        <x:v>Current 240/240 event core has L_model 9/9 and I_model 9/9; all 240/240 physical checks passed</x:v>
      </x:c>
      <x:c r="D13" s="30"/>
      <x:c r="E13" s="30"/>
      <x:c r="F13" s="30" t="str">
        <x:f>Goals!G2</x:f>
        <x:v>Extension audit then proof-pipeline promotion</x:v>
      </x:c>
      <x:c r="G13" s="30"/>
      <x:c r="H13" s="30"/>
    </x:row>
    <x:row r="14" ht="52" customHeight="1">
      <x:c r="A14" s="30" t="str">
        <x:v>G2 Medium ladder</x:v>
      </x:c>
      <x:c r="B14" s="31" t="str">
        <x:f>Goals!D3</x:f>
        <x:v>probes_running</x:v>
      </x:c>
      <x:c r="C14" s="30" t="str">
        <x:f>Goals!E3</x:f>
        <x:v>Legacy-matched event probes launched for k=8/13/20 with six replicates each</x:v>
      </x:c>
      <x:c r="D14" s="30"/>
      <x:c r="E14" s="30"/>
      <x:c r="F14" s="30" t="str">
        <x:f>Goals!G3</x:f>
        <x:v>Audit current 18 cells before generating the stratified ladder</x:v>
      </x:c>
      <x:c r="G14" s="30"/>
      <x:c r="H14" s="30"/>
    </x:row>
    <x:row r="15" ht="52" customHeight="1">
      <x:c r="A15" s="30" t="str">
        <x:v>G3 Bottleneck</x:v>
      </x:c>
      <x:c r="B15" s="31" t="str">
        <x:f>Goals!D4</x:f>
        <x:v>evidence_partial</x:v>
      </x:c>
      <x:c r="C15" s="30" t="str">
        <x:f>Goals!E4</x:f>
        <x:v>Historical 300/300 results point to pricing/convergence at k&gt;=13; current telemetry records phase behavior; k=5 pool MIPs expose a separate integer-solve tail</x:v>
      </x:c>
      <x:c r="D15" s="30"/>
      <x:c r="E15" s="30"/>
      <x:c r="F15" s="30" t="str">
        <x:f>Goals!G4</x:f>
        <x:v>Classify current campaign failures after audit</x:v>
      </x:c>
      <x:c r="G15" s="30"/>
      <x:c r="H15" s="30"/>
    </x:row>
    <x:row r="16" ht="52" customHeight="1">
      <x:c r="A16" s="30" t="str">
        <x:v>G4 Large / k40</x:v>
      </x:c>
      <x:c r="B16" s="31" t="str">
        <x:f>Goals!D5</x:f>
        <x:v>boundary_probes_running</x:v>
      </x:c>
      <x:c r="C16" s="30" t="str">
        <x:f>Goals!E5</x:f>
        <x:v>Historical 300/300 k=30/k=40 runs remained far from certification; current event k=30 x3 and k=40 x1 S1 probes launched</x:v>
      </x:c>
      <x:c r="D16" s="30"/>
      <x:c r="E16" s="30"/>
      <x:c r="F16" s="30" t="str">
        <x:f>Goals!G5</x:f>
        <x:v>Audit k=30/k=40 and decide whether continuation is scientifically informative</x:v>
      </x:c>
      <x:c r="G16" s="30"/>
      <x:c r="H16" s="30"/>
    </x:row>
    <x:row r="18">
      <x:c r="A18" s="8" t="str">
        <x:v>Immediate decision sequence</x:v>
      </x:c>
      <x:c r="B18" s="8" t="str">
        <x:v>Immediate decision sequence</x:v>
      </x:c>
      <x:c r="C18" s="8" t="str">
        <x:v>Immediate decision sequence</x:v>
      </x:c>
      <x:c r="D18" s="8" t="str">
        <x:v>Immediate decision sequence</x:v>
      </x:c>
      <x:c r="E18" s="8" t="str">
        <x:v>Immediate decision sequence</x:v>
      </x:c>
      <x:c r="F18" s="8" t="str">
        <x:v>Immediate decision sequence</x:v>
      </x:c>
      <x:c r="G18" s="8" t="str">
        <x:v>Immediate decision sequence</x:v>
      </x:c>
      <x:c r="H18" s="8" t="str">
        <x:v>Immediate decision sequence</x:v>
      </x:c>
    </x:row>
    <x:row r="19" ht="28" customHeight="1">
      <x:c r="A19" s="35" t="str">
        <x:v>1</x:v>
      </x:c>
      <x:c r="B19" s="32" t="str">
        <x:v>Let launched jobs run; do not duplicate cells</x:v>
      </x:c>
      <x:c r="C19" s="32"/>
      <x:c r="D19" s="32"/>
      <x:c r="E19" s="32"/>
      <x:c r="F19" s="32"/>
      <x:c r="G19" s="32"/>
      <x:c r="H19" s="32"/>
    </x:row>
    <x:row r="20" ht="28" customHeight="1">
      <x:c r="A20" s="35" t="str">
        <x:v>2</x:v>
      </x:c>
      <x:c r="B20" s="32" t="str">
        <x:v>Audit both Stage-1 roots after arrays leave squeue</x:v>
      </x:c>
      <x:c r="C20" s="32"/>
      <x:c r="D20" s="32"/>
      <x:c r="E20" s="32"/>
      <x:c r="F20" s="32"/>
      <x:c r="G20" s="32"/>
      <x:c r="H20" s="32"/>
    </x:row>
    <x:row r="21" ht="28" customHeight="1">
      <x:c r="A21" s="35" t="str">
        <x:v>3</x:v>
      </x:c>
      <x:c r="B21" s="32" t="str">
        <x:v>Audit 48h pool jobs with a new 172800-second validator</x:v>
      </x:c>
      <x:c r="C21" s="32"/>
      <x:c r="D21" s="32"/>
      <x:c r="E21" s="32"/>
      <x:c r="F21" s="32"/>
      <x:c r="G21" s="32"/>
      <x:c r="H21" s="32"/>
    </x:row>
    <x:row r="22" ht="28" customHeight="1">
      <x:c r="A22" s="35" t="str">
        <x:v>4</x:v>
      </x:c>
      <x:c r="B22" s="32" t="str">
        <x:v>Promote qualified small cells through S2-S4</x:v>
      </x:c>
      <x:c r="C22" s="32"/>
      <x:c r="D22" s="32"/>
      <x:c r="E22" s="32"/>
      <x:c r="F22" s="32"/>
      <x:c r="G22" s="32"/>
      <x:c r="H22" s="32"/>
    </x:row>
    <x:row r="23" ht="28" customHeight="1">
      <x:c r="A23" s="35" t="str">
        <x:v>5</x:v>
      </x:c>
      <x:c r="B23" s="32" t="str">
        <x:v>Lock k10 plus stratified 72-cell medium design from audited behavior</x:v>
      </x:c>
      <x:c r="C23" s="32"/>
      <x:c r="D23" s="32"/>
      <x:c r="E23" s="32"/>
      <x:c r="F23" s="32"/>
      <x:c r="G23" s="32"/>
      <x:c r="H23" s="32"/>
    </x:row>
  </x:sheetData>
  <x:mergeCells>
    <x:mergeCell ref="A1:H2"/>
    <x:mergeCell ref="A3:H3"/>
    <x:mergeCell ref="A5:B5"/>
    <x:mergeCell ref="C5:D5"/>
    <x:mergeCell ref="E5:F5"/>
    <x:mergeCell ref="G5:H5"/>
    <x:mergeCell ref="G6:H6"/>
    <x:mergeCell ref="G7:H7"/>
    <x:mergeCell ref="G8:H8"/>
    <x:mergeCell ref="G9:H9"/>
    <x:mergeCell ref="A11:H11"/>
    <x:mergeCell ref="C12:E12"/>
    <x:mergeCell ref="F12:H12"/>
    <x:mergeCell ref="C13:E13"/>
    <x:mergeCell ref="F13:H13"/>
    <x:mergeCell ref="C14:E14"/>
    <x:mergeCell ref="F14:H14"/>
    <x:mergeCell ref="C15:E15"/>
    <x:mergeCell ref="F15:H15"/>
    <x:mergeCell ref="C16:E16"/>
    <x:mergeCell ref="F16:H16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45" t="str">
        <x:v>goal_id</x:v>
      </x:c>
      <x:c r="B1" s="45" t="str">
        <x:v>goal_name</x:v>
      </x:c>
      <x:c r="C1" s="45" t="str">
        <x:v>success_rule</x:v>
      </x:c>
      <x:c r="D1" s="45" t="str">
        <x:v>current_state</x:v>
      </x:c>
      <x:c r="E1" s="45" t="str">
        <x:v>completed_evidence</x:v>
      </x:c>
      <x:c r="F1" s="45" t="str">
        <x:v>missing_evidence</x:v>
      </x:c>
      <x:c r="G1" s="45" t="str">
        <x:v>next_gate</x:v>
      </x:c>
      <x:c r="H1" s="45" t="str">
        <x:v>confidence</x:v>
      </x:c>
      <x:c r="I1" s="45" t="str">
        <x:v>source_as_of</x:v>
      </x:c>
    </x:row>
    <x:row r="2" ht="72" hidden="0" customHeight="1">
      <x:c r="A2" s="40" t="str">
        <x:v>G1</x:v>
      </x:c>
      <x:c r="B2" s="40" t="str">
        <x:v>Small-instance correctness</x:v>
      </x:c>
      <x:c r="C2" s="40" t="str">
        <x:v>A predeclared small-instance sample reaches S4 under current physics with independent replication and no failed physical replay</x:v>
      </x:c>
      <x:c r="D2" s="46" t="str">
        <x:v>core_achieved_replication_in_progress</x:v>
      </x:c>
      <x:c r="E2" s="40" t="str">
        <x:v>Current 240/240 event core has L_model 9/9 and I_model 9/9; all 240/240 physical checks passed</x:v>
      </x:c>
      <x:c r="F2" s="40" t="str">
        <x:v>Audit r4-r6 extension cells; promote certified S1 cells through S2-S4; publish cell-level evidence table</x:v>
      </x:c>
      <x:c r="G2" s="40" t="str">
        <x:v>Extension audit then proof-pipeline promotion</x:v>
      </x:c>
      <x:c r="H2" s="40" t="str">
        <x:v>high</x:v>
      </x:c>
      <x:c r="I2" s="40" t="str">
        <x:v>2026-08-30 committed plus live snapshot</x:v>
      </x:c>
    </x:row>
    <x:row r="3" ht="72" hidden="0" customHeight="1">
      <x:c r="A3" s="40" t="str">
        <x:v>G2</x:v>
      </x:c>
      <x:c r="B3" s="40" t="str">
        <x:v>Medium-instance performance ladder</x:v>
      </x:c>
      <x:c r="C3" s="40" t="str">
        <x:v>Predeclared k=8/10/13/20 sample reports censor-aware time to certified LP and final MIP status with trip-count and structural covariates</x:v>
      </x:c>
      <x:c r="D3" s="46" t="str">
        <x:v>probes_running</x:v>
      </x:c>
      <x:c r="E3" s="40" t="str">
        <x:v>Legacy-matched event probes launched for k=8/13/20 with six replicates each</x:v>
      </x:c>
      <x:c r="F3" s="40" t="str">
        <x:v>No k=10 or new 72-cell stratified sample yet; current probes are S1 only; target/MIP stages not launched</x:v>
      </x:c>
      <x:c r="G3" s="40" t="str">
        <x:v>Audit current 18 cells before generating the stratified ladder</x:v>
      </x:c>
      <x:c r="H3" s="40" t="str">
        <x:v>medium</x:v>
      </x:c>
      <x:c r="I3" s="40" t="str">
        <x:v>2026-08-30 live snapshot</x:v>
      </x:c>
    </x:row>
    <x:row r="4" ht="84" hidden="0" customHeight="1">
      <x:c r="A4" s="40" t="str">
        <x:v>G3</x:v>
      </x:c>
      <x:c r="B4" s="40" t="str">
        <x:v>Bottleneck identification</x:v>
      </x:c>
      <x:c r="C4" s="40" t="str">
        <x:v>Each run decomposes build master pricing validation and MIP time and classifies the first limiting stage</x:v>
      </x:c>
      <x:c r="D4" s="46" t="str">
        <x:v>evidence_partial</x:v>
      </x:c>
      <x:c r="E4" s="40" t="str">
        <x:v>Historical 300/300 results point to pricing/convergence at k&gt;=13; current telemetry records phase behavior; k=5 pool MIPs expose a separate integer-solve tail</x:v>
      </x:c>
      <x:c r="F4" s="40" t="str">
        <x:v>Need audited current event telemetry and comparable censored-time summaries across sizes</x:v>
      </x:c>
      <x:c r="G4" s="40" t="str">
        <x:v>Classify current campaign failures after audit</x:v>
      </x:c>
      <x:c r="H4" s="40" t="str">
        <x:v>medium</x:v>
      </x:c>
      <x:c r="I4" s="40" t="str">
        <x:v>2026-08-30 historical plus live snapshot</x:v>
      </x:c>
    </x:row>
    <x:row r="5" ht="72" hidden="0" customHeight="1">
      <x:c r="A5" s="40" t="str">
        <x:v>G4</x:v>
      </x:c>
      <x:c r="B5" s="40" t="str">
        <x:v>Large and full-40-bus boundary</x:v>
      </x:c>
      <x:c r="C5" s="40" t="str">
        <x:v>Report reproducible case-study status at k=30 and k=40 without claiming optimality unless S4 is attained</x:v>
      </x:c>
      <x:c r="D5" s="46" t="str">
        <x:v>boundary_probes_running</x:v>
      </x:c>
      <x:c r="E5" s="40" t="str">
        <x:v>Historical 300/300 k=30/k=40 runs remained far from certification; current event k=30 x3 and k=40 x1 S1 probes launched</x:v>
      </x:c>
      <x:c r="F5" s="40" t="str">
        <x:v>Current outputs unaudited; no fleet-phase proof or final MIP campaign</x:v>
      </x:c>
      <x:c r="G5" s="40" t="str">
        <x:v>Audit k=30/k=40 and decide whether continuation is scientifically informative</x:v>
      </x:c>
      <x:c r="H5" s="40" t="str">
        <x:v>medium</x:v>
      </x:c>
      <x:c r="I5" s="40" t="str">
        <x:v>2026-08-30 historical plus live snapshot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45" t="str">
        <x:v>campaign_id</x:v>
      </x:c>
      <x:c r="B1" s="45" t="str">
        <x:v>research_goal</x:v>
      </x:c>
      <x:c r="C1" s="45" t="str">
        <x:v>model_scope</x:v>
      </x:c>
      <x:c r="D1" s="45" t="str">
        <x:v>stage</x:v>
      </x:c>
      <x:c r="E1" s="45" t="str">
        <x:v>root_on_unicorn</x:v>
      </x:c>
      <x:c r="F1" s="45" t="str">
        <x:v>job_ids</x:v>
      </x:c>
      <x:c r="G1" s="45" t="str">
        <x:v>total_tasks</x:v>
      </x:c>
      <x:c r="H1" s="45" t="str">
        <x:v>latest_observed_state</x:v>
      </x:c>
      <x:c r="I1" s="45" t="str">
        <x:v>audit_command</x:v>
      </x:c>
      <x:c r="J1" s="45" t="str">
        <x:v>output_csv</x:v>
      </x:c>
      <x:c r="K1" s="45" t="str">
        <x:v>next_decision</x:v>
      </x:c>
    </x:row>
    <x:row r="2" ht="72" hidden="0" customHeight="1">
      <x:c r="A2" s="40" t="str">
        <x:v>core_event_panel_A</x:v>
      </x:c>
      <x:c r="B2" s="40" t="str">
        <x:v>G1</x:v>
      </x:c>
      <x:c r="C2" s="40" t="str">
        <x:v>current 240/240 event</x:v>
      </x:c>
      <x:c r="D2" s="40" t="str">
        <x:v>S0-S6</x:v>
      </x:c>
      <x:c r="E2" s="40" t="str">
        <x:v>/home/nc437/ladder-lite/event_uniform_A_20260824_2dd2b4c</x:v>
      </x:c>
      <x:c r="F2" s="40" t="str">
        <x:v>multiple</x:v>
      </x:c>
      <x:c r="G2" s="40" t="str">
        <x:v>9</x:v>
      </x:c>
      <x:c r="H2" s="46" t="str">
        <x:v>committed</x:v>
      </x:c>
      <x:c r="I2" s="40" t="str">
        <x:v>bash scripts/event_uniform_envelope/audit_panel_a.sh \$HOME/ladder-lite/event_uniform_A_20260824_2dd2b4c\</x:v>
      </x:c>
      <x:c r="J2" s="40" t="str">
        <x:v>panel_a_summary.csv</x:v>
      </x:c>
      <x:c r="K2" s="40" t="str">
        <x:v>Baseline for replication and proof definitions</x:v>
      </x:c>
    </x:row>
    <x:row r="3" ht="48" hidden="0" customHeight="1">
      <x:c r="A3" s="40" t="str">
        <x:v>pool_retry_48h_A</x:v>
      </x:c>
      <x:c r="B3" s="40" t="str">
        <x:v>G1 and G3</x:v>
      </x:c>
      <x:c r="C3" s="40" t="str">
        <x:v>current 240/240 Panel A frozen pools</x:v>
      </x:c>
      <x:c r="D3" s="40" t="str">
        <x:v>S5</x:v>
      </x:c>
      <x:c r="E3" s="40" t="str">
        <x:v>/home/nc437/ladder-lite/event_uniform_A_20260824_2dd2b4c</x:v>
      </x:c>
      <x:c r="F3" s="40" t="str">
        <x:v>922864</x:v>
      </x:c>
      <x:c r="G3" s="40" t="str">
        <x:v>5</x:v>
      </x:c>
      <x:c r="H3" s="46" t="str">
        <x:v>active</x:v>
      </x:c>
      <x:c r="I3" s="40" t="str">
        <x:v>IMPLEMENT audit_highs_unresolved_retry172800.sh then run it against both panel roots</x:v>
      </x:c>
      <x:c r="J3" s="40" t="str">
        <x:v>backend_retry172800.csv</x:v>
      </x:c>
      <x:c r="K3" s="40" t="str">
        <x:v>Update I_pool only after validation and commit</x:v>
      </x:c>
    </x:row>
    <x:row r="4" ht="48" hidden="0" customHeight="1">
      <x:c r="A4" s="40" t="str">
        <x:v>pool_retry_48h_B</x:v>
      </x:c>
      <x:c r="B4" s="40" t="str">
        <x:v>G1 and G3</x:v>
      </x:c>
      <x:c r="C4" s="40" t="str">
        <x:v>current 240/240 Panel B frozen pools</x:v>
      </x:c>
      <x:c r="D4" s="40" t="str">
        <x:v>S5</x:v>
      </x:c>
      <x:c r="E4" s="40" t="str">
        <x:v>/home/nc437/ladder-lite/event_uniform_B_20260824_13596d0</x:v>
      </x:c>
      <x:c r="F4" s="40" t="str">
        <x:v>922865</x:v>
      </x:c>
      <x:c r="G4" s="40" t="str">
        <x:v>3</x:v>
      </x:c>
      <x:c r="H4" s="46" t="str">
        <x:v>active</x:v>
      </x:c>
      <x:c r="I4" s="40" t="str">
        <x:v>IMPLEMENT audit_highs_unresolved_retry172800.sh then run it against both panel roots</x:v>
      </x:c>
      <x:c r="J4" s="40" t="str">
        <x:v>backend_retry172800.csv</x:v>
      </x:c>
      <x:c r="K4" s="40" t="str">
        <x:v>Update I_pool only after validation and commit</x:v>
      </x:c>
    </x:row>
    <x:row r="5" ht="84" hidden="0" customHeight="1">
      <x:c r="A5" s="40" t="str">
        <x:v>medium_event_legacy</x:v>
      </x:c>
      <x:c r="B5" s="40" t="str">
        <x:v>G2 and G3</x:v>
      </x:c>
      <x:c r="C5" s="40" t="str">
        <x:v>current 240/240 event</x:v>
      </x:c>
      <x:c r="D5" s="40" t="str">
        <x:v>S1</x:v>
      </x:c>
      <x:c r="E5" s="40" t="str">
        <x:v>/home/nc437/ladder-lite/medium_event_legacy_20260830_44b6d5</x:v>
      </x:c>
      <x:c r="F5" s="40" t="str">
        <x:v>922550;922551;922553</x:v>
      </x:c>
      <x:c r="G5" s="40" t="str">
        <x:v>18</x:v>
      </x:c>
      <x:c r="H5" s="46" t="str">
        <x:v>13 active; 5 absent and unaudited</x:v>
      </x:c>
      <x:c r="I5" s="40" t="str">
        <x:v>bash scripts/event_uniform_envelope/audit_medium_event_legacy.sh \$HOME/ladder-lite/medium_event_legacy_20260830_44b6d5\</x:v>
      </x:c>
      <x:c r="J5" s="40" t="str">
        <x:v>medium_event_summary.csv</x:v>
      </x:c>
      <x:c r="K5" s="40" t="str">
        <x:v>Promote certified cells and diagnose first failed stage</x:v>
      </x:c>
    </x:row>
    <x:row r="6" ht="84" hidden="0" customHeight="1">
      <x:c r="A6" s="40" t="str">
        <x:v>event_extension_small</x:v>
      </x:c>
      <x:c r="B6" s="40" t="str">
        <x:v>G1</x:v>
      </x:c>
      <x:c r="C6" s="40" t="str">
        <x:v>current 240/240 event</x:v>
      </x:c>
      <x:c r="D6" s="40" t="str">
        <x:v>S1</x:v>
      </x:c>
      <x:c r="E6" s="40" t="str">
        <x:v>/home/nc437/ladder-lite/event_extension_20260830_44b6d5</x:v>
      </x:c>
      <x:c r="F6" s="40" t="str">
        <x:v>922874</x:v>
      </x:c>
      <x:c r="G6" s="40" t="str">
        <x:v>9</x:v>
      </x:c>
      <x:c r="H6" s="46" t="str">
        <x:v>2 active; 7 absent and unaudited</x:v>
      </x:c>
      <x:c r="I6" s="40" t="str">
        <x:v>bash scripts/event_uniform_envelope/audit_medium_event_legacy.sh \$HOME/ladder-lite/event_extension_20260830_44b6d5\</x:v>
      </x:c>
      <x:c r="J6" s="40" t="str">
        <x:v>medium_event_summary.csv</x:v>
      </x:c>
      <x:c r="K6" s="40" t="str">
        <x:v>Use as independent replication then promote through S2-S4</x:v>
      </x:c>
    </x:row>
    <x:row r="7" ht="84" hidden="0" customHeight="1">
      <x:c r="A7" s="40" t="str">
        <x:v>event_extension_k30</x:v>
      </x:c>
      <x:c r="B7" s="40" t="str">
        <x:v>G3 and G4</x:v>
      </x:c>
      <x:c r="C7" s="40" t="str">
        <x:v>current 240/240 event</x:v>
      </x:c>
      <x:c r="D7" s="40" t="str">
        <x:v>S1</x:v>
      </x:c>
      <x:c r="E7" s="40" t="str">
        <x:v>/home/nc437/ladder-lite/event_extension_20260830_44b6d5</x:v>
      </x:c>
      <x:c r="F7" s="40" t="str">
        <x:v>922875</x:v>
      </x:c>
      <x:c r="G7" s="40" t="str">
        <x:v>3</x:v>
      </x:c>
      <x:c r="H7" s="46" t="str">
        <x:v>active</x:v>
      </x:c>
      <x:c r="I7" s="40" t="str">
        <x:v>bash scripts/event_uniform_envelope/audit_medium_event_legacy.sh \$HOME/ladder-lite/event_extension_20260830_44b6d5\</x:v>
      </x:c>
      <x:c r="J7" s="40" t="str">
        <x:v>medium_event_summary.csv</x:v>
      </x:c>
      <x:c r="K7" s="40" t="str">
        <x:v>Classify boundary behavior and decide continuation</x:v>
      </x:c>
    </x:row>
    <x:row r="8" ht="84" hidden="0" customHeight="1">
      <x:c r="A8" s="40" t="str">
        <x:v>event_extension_k40</x:v>
      </x:c>
      <x:c r="B8" s="40" t="str">
        <x:v>G3 and G4</x:v>
      </x:c>
      <x:c r="C8" s="40" t="str">
        <x:v>current 240/240 event</x:v>
      </x:c>
      <x:c r="D8" s="40" t="str">
        <x:v>S1</x:v>
      </x:c>
      <x:c r="E8" s="40" t="str">
        <x:v>/home/nc437/ladder-lite/event_extension_20260830_44b6d5</x:v>
      </x:c>
      <x:c r="F8" s="40" t="str">
        <x:v>922876</x:v>
      </x:c>
      <x:c r="G8" s="40" t="str">
        <x:v>1</x:v>
      </x:c>
      <x:c r="H8" s="46" t="str">
        <x:v>absent and unaudited</x:v>
      </x:c>
      <x:c r="I8" s="40" t="str">
        <x:v>bash scripts/event_uniform_envelope/audit_medium_event_legacy.sh \$HOME/ladder-lite/event_extension_20260830_44b6d5\</x:v>
      </x:c>
      <x:c r="J8" s="40" t="str">
        <x:v>medium_event_summary.csv</x:v>
      </x:c>
      <x:c r="K8" s="40" t="str">
        <x:v>Inspect sacct stderr telemetry and output before any retry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45" t="str">
        <x:v>campaign</x:v>
      </x:c>
      <x:c r="B1" s="45" t="str">
        <x:v>job_id</x:v>
      </x:c>
      <x:c r="C1" s="45" t="str">
        <x:v>stage</x:v>
      </x:c>
      <x:c r="D1" s="45" t="str">
        <x:v>partition</x:v>
      </x:c>
      <x:c r="E1" s="45" t="str">
        <x:v>total_tasks</x:v>
      </x:c>
      <x:c r="F1" s="45" t="str">
        <x:v>active_tasks</x:v>
      </x:c>
      <x:c r="G1" s="45" t="str">
        <x:v>not_in_queue_unaudited</x:v>
      </x:c>
      <x:c r="H1" s="45" t="str">
        <x:v>snapshot_date</x:v>
      </x:c>
      <x:c r="I1" s="45" t="str">
        <x:v>interpretation</x:v>
      </x:c>
    </x:row>
    <x:row r="2" ht="36" hidden="0" customHeight="1">
      <x:c r="A2" s="40" t="str">
        <x:v>Medium event k8</x:v>
      </x:c>
      <x:c r="B2" s="40" t="str">
        <x:v>922550</x:v>
      </x:c>
      <x:c r="C2" s="40" t="str">
        <x:v>S1</x:v>
      </x:c>
      <x:c r="D2" s="40" t="str">
        <x:v>default_partition</x:v>
      </x:c>
      <x:c r="E2" s="40" t="str">
        <x:v>6</x:v>
      </x:c>
      <x:c r="F2" s="47" t="str">
        <x:v>2</x:v>
      </x:c>
      <x:c r="G2" s="47" t="str">
        <x:v>4</x:v>
      </x:c>
      <x:c r="H2" s="40" t="str">
        <x:v>2026-08-30</x:v>
      </x:c>
      <x:c r="I2" s="40" t="str">
        <x:v>Two tasks visible; four require sacct and artifact audit</x:v>
      </x:c>
    </x:row>
    <x:row r="3" ht="24" hidden="0" customHeight="1">
      <x:c r="A3" s="40" t="str">
        <x:v>Medium event k13</x:v>
      </x:c>
      <x:c r="B3" s="40" t="str">
        <x:v>922551</x:v>
      </x:c>
      <x:c r="C3" s="40" t="str">
        <x:v>S1</x:v>
      </x:c>
      <x:c r="D3" s="40" t="str">
        <x:v>default_partition</x:v>
      </x:c>
      <x:c r="E3" s="40" t="str">
        <x:v>6</x:v>
      </x:c>
      <x:c r="F3" s="47" t="str">
        <x:v>6</x:v>
      </x:c>
      <x:c r="G3" s="47" t="str">
        <x:v>0</x:v>
      </x:c>
      <x:c r="H3" s="40" t="str">
        <x:v>2026-08-30</x:v>
      </x:c>
      <x:c r="I3" s="40" t="str">
        <x:v>All six tasks visible as running</x:v>
      </x:c>
    </x:row>
    <x:row r="4" ht="36" hidden="0" customHeight="1">
      <x:c r="A4" s="40" t="str">
        <x:v>Medium event k20</x:v>
      </x:c>
      <x:c r="B4" s="40" t="str">
        <x:v>922553</x:v>
      </x:c>
      <x:c r="C4" s="40" t="str">
        <x:v>S1</x:v>
      </x:c>
      <x:c r="D4" s="40" t="str">
        <x:v>default_partition</x:v>
      </x:c>
      <x:c r="E4" s="40" t="str">
        <x:v>6</x:v>
      </x:c>
      <x:c r="F4" s="47" t="str">
        <x:v>5</x:v>
      </x:c>
      <x:c r="G4" s="47" t="str">
        <x:v>1</x:v>
      </x:c>
      <x:c r="H4" s="40" t="str">
        <x:v>2026-08-30</x:v>
      </x:c>
      <x:c r="I4" s="40" t="str">
        <x:v>Five tasks visible; one requires sacct and artifact audit</x:v>
      </x:c>
    </x:row>
    <x:row r="5" ht="36" hidden="0" customHeight="1">
      <x:c r="A5" s="40" t="str">
        <x:v>Event extension small</x:v>
      </x:c>
      <x:c r="B5" s="40" t="str">
        <x:v>922874</x:v>
      </x:c>
      <x:c r="C5" s="40" t="str">
        <x:v>S1</x:v>
      </x:c>
      <x:c r="D5" s="40" t="str">
        <x:v>default_partition</x:v>
      </x:c>
      <x:c r="E5" s="40" t="str">
        <x:v>9</x:v>
      </x:c>
      <x:c r="F5" s="47" t="str">
        <x:v>2</x:v>
      </x:c>
      <x:c r="G5" s="47" t="str">
        <x:v>7</x:v>
      </x:c>
      <x:c r="H5" s="40" t="str">
        <x:v>2026-08-30</x:v>
      </x:c>
      <x:c r="I5" s="40" t="str">
        <x:v>Two tasks visible; seven require sacct and artifact audit</x:v>
      </x:c>
    </x:row>
    <x:row r="6" ht="24" hidden="0" customHeight="1">
      <x:c r="A6" s="40" t="str">
        <x:v>Event extension k30</x:v>
      </x:c>
      <x:c r="B6" s="40" t="str">
        <x:v>922875</x:v>
      </x:c>
      <x:c r="C6" s="40" t="str">
        <x:v>S1</x:v>
      </x:c>
      <x:c r="D6" s="40" t="str">
        <x:v>default_partition</x:v>
      </x:c>
      <x:c r="E6" s="40" t="str">
        <x:v>3</x:v>
      </x:c>
      <x:c r="F6" s="47" t="str">
        <x:v>3</x:v>
      </x:c>
      <x:c r="G6" s="47" t="str">
        <x:v>0</x:v>
      </x:c>
      <x:c r="H6" s="40" t="str">
        <x:v>2026-08-30</x:v>
      </x:c>
      <x:c r="I6" s="40" t="str">
        <x:v>All three tasks visible as running</x:v>
      </x:c>
    </x:row>
    <x:row r="7" ht="24" hidden="0" customHeight="1">
      <x:c r="A7" s="40" t="str">
        <x:v>Event extension k40</x:v>
      </x:c>
      <x:c r="B7" s="40" t="str">
        <x:v>922876</x:v>
      </x:c>
      <x:c r="C7" s="40" t="str">
        <x:v>S1</x:v>
      </x:c>
      <x:c r="D7" s="40" t="str">
        <x:v>default_partition</x:v>
      </x:c>
      <x:c r="E7" s="40" t="str">
        <x:v>1</x:v>
      </x:c>
      <x:c r="F7" s="47" t="str">
        <x:v>0</x:v>
      </x:c>
      <x:c r="G7" s="47" t="str">
        <x:v>1</x:v>
      </x:c>
      <x:c r="H7" s="40" t="str">
        <x:v>2026-08-30</x:v>
      </x:c>
      <x:c r="I7" s="40" t="str">
        <x:v>Task absent from queue and unaudited</x:v>
      </x:c>
    </x:row>
    <x:row r="8" ht="24" hidden="0" customHeight="1">
      <x:c r="A8" s="40" t="str">
        <x:v>Panel A HiGHS 48h tail</x:v>
      </x:c>
      <x:c r="B8" s="40" t="str">
        <x:v>922864</x:v>
      </x:c>
      <x:c r="C8" s="40" t="str">
        <x:v>S5</x:v>
      </x:c>
      <x:c r="D8" s="40" t="str">
        <x:v>scaglione</x:v>
      </x:c>
      <x:c r="E8" s="40" t="str">
        <x:v>5</x:v>
      </x:c>
      <x:c r="F8" s="47" t="str">
        <x:v>5</x:v>
      </x:c>
      <x:c r="G8" s="47" t="str">
        <x:v>0</x:v>
      </x:c>
      <x:c r="H8" s="40" t="str">
        <x:v>2026-08-30</x:v>
      </x:c>
      <x:c r="I8" s="40" t="str">
        <x:v>Five unresolved finite-pool MIPs visible as running</x:v>
      </x:c>
    </x:row>
    <x:row r="9" ht="36" hidden="0" customHeight="1">
      <x:c r="A9" s="40" t="str">
        <x:v>Panel B HiGHS 48h tail</x:v>
      </x:c>
      <x:c r="B9" s="40" t="str">
        <x:v>922865</x:v>
      </x:c>
      <x:c r="C9" s="40" t="str">
        <x:v>S5</x:v>
      </x:c>
      <x:c r="D9" s="40" t="str">
        <x:v>scaglione</x:v>
      </x:c>
      <x:c r="E9" s="40" t="str">
        <x:v>3</x:v>
      </x:c>
      <x:c r="F9" s="47" t="str">
        <x:v>3</x:v>
      </x:c>
      <x:c r="G9" s="47" t="str">
        <x:v>0</x:v>
      </x:c>
      <x:c r="H9" s="40" t="str">
        <x:v>2026-08-30</x:v>
      </x:c>
      <x:c r="I9" s="40" t="str">
        <x:v>Three unresolved finite-pool MIPs visible as running</x:v>
      </x:c>
    </x:row>
    <x:row r="10" ht="36" hidden="0" customHeight="1">
      <x:c r="A10" s="42" t="str">
        <x:v>TOTAL</x:v>
      </x:c>
      <x:c r="B10" s="42" t="str">
        <x:v>grouped_snapshot</x:v>
      </x:c>
      <x:c r="C10" s="42" t="str">
        <x:v>mixed</x:v>
      </x:c>
      <x:c r="D10" s="42" t="str">
        <x:v>mixed</x:v>
      </x:c>
      <x:c r="E10" s="42" t="str">
        <x:v>39</x:v>
      </x:c>
      <x:c r="F10" s="42" t="str">
        <x:v>26</x:v>
      </x:c>
      <x:c r="G10" s="42" t="str">
        <x:v>13</x:v>
      </x:c>
      <x:c r="H10" s="42" t="str">
        <x:v>2026-08-30</x:v>
      </x:c>
      <x:c r="I10" s="42" t="str">
        <x:v>Queue state is not an outcome; audit all 13 absent tasks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45" t="str">
        <x:v>evidence_class</x:v>
      </x:c>
      <x:c r="B1" s="45" t="str">
        <x:v>model_scope</x:v>
      </x:c>
      <x:c r="C1" s="45" t="str">
        <x:v>physics</x:v>
      </x:c>
      <x:c r="D1" s="45" t="str">
        <x:v>representation</x:v>
      </x:c>
      <x:c r="E1" s="45" t="str">
        <x:v>cells</x:v>
      </x:c>
      <x:c r="F1" s="45" t="str">
        <x:v>l_model_proved</x:v>
      </x:c>
      <x:c r="G1" s="45" t="str">
        <x:v>i_model_proved</x:v>
      </x:c>
      <x:c r="H1" s="45" t="str">
        <x:v>i_pool_proved</x:v>
      </x:c>
      <x:c r="I1" s="45" t="str">
        <x:v>status</x:v>
      </x:c>
      <x:c r="J1" s="45" t="str">
        <x:v>open_cells_or_caveat</x:v>
      </x:c>
      <x:c r="K1" s="45" t="str">
        <x:v>source</x:v>
      </x:c>
    </x:row>
    <x:row r="2" ht="48" hidden="0" customHeight="1">
      <x:c r="A2" s="48" t="str">
        <x:v>committed</x:v>
      </x:c>
      <x:c r="B2" s="40" t="str">
        <x:v>current_core</x:v>
      </x:c>
      <x:c r="C2" s="40" t="str">
        <x:v>240/240</x:v>
      </x:c>
      <x:c r="D2" s="40" t="str">
        <x:v>event_2p5_event5</x:v>
      </x:c>
      <x:c r="E2" s="40" t="str">
        <x:v>9</x:v>
      </x:c>
      <x:c r="F2" s="40" t="str">
        <x:v>9</x:v>
      </x:c>
      <x:c r="G2" s="40" t="str">
        <x:v>9</x:v>
      </x:c>
      <x:c r="H2" s="40" t="str">
        <x:v>7</x:v>
      </x:c>
      <x:c r="I2" s="40" t="str">
        <x:v>integer_model_core_proved</x:v>
      </x:c>
      <x:c r="J2" s="40" t="str">
        <x:v>I_pool open at k05_s2 and k05_s3 in committed evidence; later retries remain provisional</x:v>
      </x:c>
      <x:c r="K2" s="40" t="str">
        <x:v>records branch and committed campaign artifacts</x:v>
      </x:c>
    </x:row>
    <x:row r="3" ht="48" hidden="0" customHeight="1">
      <x:c r="A3" s="48" t="str">
        <x:v>committed</x:v>
      </x:c>
      <x:c r="B3" s="40" t="str">
        <x:v>current_panel_a_all_representations</x:v>
      </x:c>
      <x:c r="C3" s="40" t="str">
        <x:v>240/240</x:v>
      </x:c>
      <x:c r="D3" s="40" t="str">
        <x:v>event plus five uniform representations</x:v>
      </x:c>
      <x:c r="E3" s="40" t="str">
        <x:v>54</x:v>
      </x:c>
      <x:c r="F3" s="40" t="str">
        <x:v>54</x:v>
      </x:c>
      <x:c r="G3" s="40" t="str">
        <x:v>39</x:v>
      </x:c>
      <x:c r="H3" s="40" t="str">
        <x:v>42</x:v>
      </x:c>
      <x:c r="I3" s="40" t="str">
        <x:v>mixed_proof_state</x:v>
      </x:c>
      <x:c r="J3" s="40" t="str">
        <x:v>15 I_model and 12 I_pool cells are not proved; denominators cover different representations</x:v>
      </x:c>
      <x:c r="K3" s="40" t="str">
        <x:v>Panel A committed audit</x:v>
      </x:c>
    </x:row>
    <x:row r="4" ht="48" hidden="0" customHeight="1">
      <x:c r="A4" s="48" t="str">
        <x:v>committed</x:v>
      </x:c>
      <x:c r="B4" s="40" t="str">
        <x:v>historical_primary</x:v>
      </x:c>
      <x:c r="C4" s="40" t="str">
        <x:v>300/300</x:v>
      </x:c>
      <x:c r="D4" s="40" t="str">
        <x:v>uniform_15_10</x:v>
      </x:c>
      <x:c r="E4" s="40" t="str">
        <x:v>9</x:v>
      </x:c>
      <x:c r="F4" s="40" t="str"/>
      <x:c r="G4" s="40" t="str">
        <x:v>7</x:v>
      </x:c>
      <x:c r="H4" s="40" t="str"/>
      <x:c r="I4" s="40" t="str">
        <x:v>historical_not_current</x:v>
      </x:c>
      <x:c r="J4" s="40" t="str">
        <x:v>I_model open at k05_s1 and k05_s3; do not combine with 240/240 counts</x:v>
      </x:c>
      <x:c r="K4" s="40" t="str">
        <x:v>historical decision records</x:v>
      </x:c>
    </x:row>
    <x:row r="5" ht="48" hidden="0" customHeight="1">
      <x:c r="A5" s="46" t="str">
        <x:v>provisional</x:v>
      </x:c>
      <x:c r="B5" s="40" t="str">
        <x:v>current_pool_retry_A</x:v>
      </x:c>
      <x:c r="C5" s="40" t="str">
        <x:v>240/240</x:v>
      </x:c>
      <x:c r="D5" s="40" t="str">
        <x:v>Panel A frozen pools</x:v>
      </x:c>
      <x:c r="E5" s="40" t="str">
        <x:v>7</x:v>
      </x:c>
      <x:c r="F5" s="40" t="str"/>
      <x:c r="G5" s="40" t="str"/>
      <x:c r="H5" s="40" t="str">
        <x:v>2</x:v>
      </x:c>
      <x:c r="I5" s="40" t="str">
        <x:v>retry_results_not_committed</x:v>
      </x:c>
      <x:c r="J5" s="40" t="str">
        <x:v>After 8h one additional A cell became proved; 48h jobs currently target five A cells</x:v>
      </x:c>
      <x:c r="K5" s="40" t="str">
        <x:v>8h audit plus live queue snapshot</x:v>
      </x:c>
    </x:row>
    <x:row r="6" ht="48" hidden="0" customHeight="1">
      <x:c r="A6" s="46" t="str">
        <x:v>provisional</x:v>
      </x:c>
      <x:c r="B6" s="40" t="str">
        <x:v>current_pool_retry_B</x:v>
      </x:c>
      <x:c r="C6" s="40" t="str">
        <x:v>240/240</x:v>
      </x:c>
      <x:c r="D6" s="40" t="str">
        <x:v>Panel B frozen pools</x:v>
      </x:c>
      <x:c r="E6" s="40" t="str">
        <x:v>5</x:v>
      </x:c>
      <x:c r="F6" s="40" t="str"/>
      <x:c r="G6" s="40" t="str"/>
      <x:c r="H6" s="40" t="str">
        <x:v>1</x:v>
      </x:c>
      <x:c r="I6" s="40" t="str">
        <x:v>retry_results_not_committed</x:v>
      </x:c>
      <x:c r="J6" s="40" t="str">
        <x:v>After 8h one additional B cell became proved; 48h jobs currently target three B cells</x:v>
      </x:c>
      <x:c r="K6" s="40" t="str">
        <x:v>8h audit plus live queue snapshot</x:v>
      </x:c>
    </x:row>
    <x:row r="7" ht="48" hidden="0" customHeight="1">
      <x:c r="A7" s="49" t="str">
        <x:v>live</x:v>
      </x:c>
      <x:c r="B7" s="40" t="str">
        <x:v>new_small_extension</x:v>
      </x:c>
      <x:c r="C7" s="40" t="str">
        <x:v>240/240</x:v>
      </x:c>
      <x:c r="D7" s="40" t="str">
        <x:v>event_2p5_event5</x:v>
      </x:c>
      <x:c r="E7" s="40" t="str">
        <x:v>9</x:v>
      </x:c>
      <x:c r="F7" s="40" t="str"/>
      <x:c r="G7" s="40" t="str"/>
      <x:c r="H7" s="40" t="str"/>
      <x:c r="I7" s="40" t="str">
        <x:v>stage1_only</x:v>
      </x:c>
      <x:c r="J7" s="40" t="str">
        <x:v>r4-r6 at k=2/3/5 launched; absent tasks must be audited; no S2-S4 claims yet</x:v>
      </x:c>
      <x:c r="K7" s="40" t="str">
        <x:v>Slurm snapshot 2026-08-30</x:v>
      </x:c>
    </x:row>
    <x:row r="8" ht="36" hidden="0" customHeight="1">
      <x:c r="A8" s="49" t="str">
        <x:v>live</x:v>
      </x:c>
      <x:c r="B8" s="40" t="str">
        <x:v>new_medium_legacy_matched</x:v>
      </x:c>
      <x:c r="C8" s="40" t="str">
        <x:v>240/240</x:v>
      </x:c>
      <x:c r="D8" s="40" t="str">
        <x:v>event_2p5_event5</x:v>
      </x:c>
      <x:c r="E8" s="40" t="str">
        <x:v>18</x:v>
      </x:c>
      <x:c r="F8" s="40" t="str"/>
      <x:c r="G8" s="40" t="str"/>
      <x:c r="H8" s="40" t="str"/>
      <x:c r="I8" s="40" t="str">
        <x:v>stage1_only</x:v>
      </x:c>
      <x:c r="J8" s="40" t="str">
        <x:v>k=8/13/20 x6 launched; no k=10; absent tasks must be audited</x:v>
      </x:c>
      <x:c r="K8" s="40" t="str">
        <x:v>Slurm snapshot 2026-08-30</x:v>
      </x:c>
    </x:row>
    <x:row r="9" ht="36" hidden="0" customHeight="1">
      <x:c r="A9" s="49" t="str">
        <x:v>live</x:v>
      </x:c>
      <x:c r="B9" s="40" t="str">
        <x:v>new_large_boundary</x:v>
      </x:c>
      <x:c r="C9" s="40" t="str">
        <x:v>240/240</x:v>
      </x:c>
      <x:c r="D9" s="40" t="str">
        <x:v>event_2p5_event5</x:v>
      </x:c>
      <x:c r="E9" s="40" t="str">
        <x:v>4</x:v>
      </x:c>
      <x:c r="F9" s="40" t="str"/>
      <x:c r="G9" s="40" t="str"/>
      <x:c r="H9" s="40" t="str"/>
      <x:c r="I9" s="40" t="str">
        <x:v>stage1_only</x:v>
      </x:c>
      <x:c r="J9" s="40" t="str">
        <x:v>k=30 x3 and k=40 x1 launched; outputs unaudited</x:v>
      </x:c>
      <x:c r="K9" s="40" t="str">
        <x:v>Slurm snapshot 2026-08-30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45" t="str">
        <x:v>stage_id</x:v>
      </x:c>
      <x:c r="B1" s="45" t="str">
        <x:v>stage_name</x:v>
      </x:c>
      <x:c r="C1" s="45" t="str">
        <x:v>question_answered</x:v>
      </x:c>
      <x:c r="D1" s="45" t="str">
        <x:v>required_evidence</x:v>
      </x:c>
      <x:c r="E1" s="45" t="str">
        <x:v>claim_allowed</x:v>
      </x:c>
      <x:c r="F1" s="45" t="str">
        <x:v>claim_not_allowed</x:v>
      </x:c>
    </x:row>
    <x:row r="2" ht="36" hidden="0" customHeight="1">
      <x:c r="A2" s="40" t="str">
        <x:v>S0</x:v>
      </x:c>
      <x:c r="B2" s="40" t="str">
        <x:v>Input identity and validation</x:v>
      </x:c>
      <x:c r="C2" s="40" t="str">
        <x:v>Are the instance and physics exactly identified?</x:v>
      </x:c>
      <x:c r="D2" s="40" t="str">
        <x:v>Manifest hashes plus schema and physical-input validation</x:v>
      </x:c>
      <x:c r="E2" s="40" t="str">
        <x:v>The named input is reproducible</x:v>
      </x:c>
      <x:c r="F2" s="40" t="str">
        <x:v>Any optimization claim</x:v>
      </x:c>
    </x:row>
    <x:row r="3" ht="48" hidden="0" customHeight="1">
      <x:c r="A3" s="40" t="str">
        <x:v>S1</x:v>
      </x:c>
      <x:c r="B3" s="40" t="str">
        <x:v>Combined-cost exact column generation</x:v>
      </x:c>
      <x:c r="C3" s="40" t="str">
        <x:v>Is the LP over the combined-cost route representation certified?</x:v>
      </x:c>
      <x:c r="D3" s="40" t="str">
        <x:v>Exact-pricer termination with no negative reduced-cost column plus durable telemetry</x:v>
      </x:c>
      <x:c r="E3" s="40" t="str">
        <x:v>Certified combined-cost LP bound for the named representation</x:v>
      </x:c>
      <x:c r="F3" s="40" t="str">
        <x:v>Full fleet-model LP or integer optimality</x:v>
      </x:c>
    </x:row>
    <x:row r="4" ht="48" hidden="0" customHeight="1">
      <x:c r="A4" s="40" t="str">
        <x:v>S2</x:v>
      </x:c>
      <x:c r="B4" s="40" t="str">
        <x:v>Fleet-only exact pricing</x:v>
      </x:c>
      <x:c r="C4" s="40" t="str">
        <x:v>Is the fleet-objective LP bound certified over the full named route representation?</x:v>
      </x:c>
      <x:c r="D4" s="40" t="str">
        <x:v>Fleet-objective column generation plus exact no-improving-column certificate</x:v>
      </x:c>
      <x:c r="E4" s="40" t="str">
        <x:v>L_model for the named representation</x:v>
      </x:c>
      <x:c r="F4" s="40" t="str">
        <x:v>I_model or I_pool</x:v>
      </x:c>
    </x:row>
    <x:row r="5" ht="48" hidden="0" customHeight="1">
      <x:c r="A5" s="40" t="str">
        <x:v>S3</x:v>
      </x:c>
      <x:c r="B5" s="40" t="str">
        <x:v>Integer witness and physical replay</x:v>
      </x:c>
      <x:c r="C5" s="40" t="str">
        <x:v>Is there a valid same-model integer schedule with a stated fleet value?</x:v>
      </x:c>
      <x:c r="D5" s="40" t="str">
        <x:v>Integer incumbent plus independent route coverage charging tariff and SOC replay</x:v>
      </x:c>
      <x:c r="E5" s="40" t="str">
        <x:v>A valid upper bound on I_model</x:v>
      </x:c>
      <x:c r="F5" s="40" t="str">
        <x:v>Integer optimality by itself</x:v>
      </x:c>
    </x:row>
    <x:row r="6" ht="36" hidden="0" customHeight="1">
      <x:c r="A6" s="40" t="str">
        <x:v>S4</x:v>
      </x:c>
      <x:c r="B6" s="40" t="str">
        <x:v>Full integer-model sandwich</x:v>
      </x:c>
      <x:c r="C6" s="40" t="str">
        <x:v>Do a certified LP lower bound and valid integer upper bound meet?</x:v>
      </x:c>
      <x:c r="D6" s="40" t="str">
        <x:v>S2 lower bound equals S3 integer fleet value within declared tolerance</x:v>
      </x:c>
      <x:c r="E6" s="40" t="str">
        <x:v>I_model is proved for the named representation</x:v>
      </x:c>
      <x:c r="F6" s="40" t="str">
        <x:v>Optimality for different physics or representation</x:v>
      </x:c>
    </x:row>
    <x:row r="7" ht="36" hidden="0" customHeight="1">
      <x:c r="A7" s="40" t="str">
        <x:v>S5</x:v>
      </x:c>
      <x:c r="B7" s="40" t="str">
        <x:v>Finite-pool integer solve</x:v>
      </x:c>
      <x:c r="C7" s="40" t="str">
        <x:v>What is the best/proved integer solution over the frozen CG column pool?</x:v>
      </x:c>
      <x:c r="D7" s="40" t="str">
        <x:v>Hashed frozen pool plus validated timed or exact MIP artifact</x:v>
      </x:c>
      <x:c r="E7" s="40" t="str">
        <x:v>I_timed or a pool incumbent</x:v>
      </x:c>
      <x:c r="F7" s="40" t="str">
        <x:v>Full-model integer optimality</x:v>
      </x:c>
    </x:row>
    <x:row r="8" ht="48" hidden="0" customHeight="1">
      <x:c r="A8" s="40" t="str">
        <x:v>S6</x:v>
      </x:c>
      <x:c r="B8" s="40" t="str">
        <x:v>Finite-pool proof</x:v>
      </x:c>
      <x:c r="C8" s="40" t="str">
        <x:v>Is the finite-pool MIP optimum proved?</x:v>
      </x:c>
      <x:c r="D8" s="40" t="str">
        <x:v>S5 solve with matching lower and upper bounds and validated physical witness</x:v>
      </x:c>
      <x:c r="E8" s="40" t="str">
        <x:v>I_pool is proved for that exact pool</x:v>
      </x:c>
      <x:c r="F8" s="40" t="str">
        <x:v>I_model unless the S4 sandwich is also present</x:v>
      </x:c>
    </x:row>
    <x:row r="9" ht="48" hidden="0" customHeight="1">
      <x:c r="A9" s="40" t="str">
        <x:v>S7</x:v>
      </x:c>
      <x:c r="B9" s="40" t="str">
        <x:v>Demand-response policy tier</x:v>
      </x:c>
      <x:c r="C9" s="40" t="str">
        <x:v>What changes under a fixed-duty or DR policy?</x:v>
      </x:c>
      <x:c r="D9" s="40" t="str">
        <x:v>A locked policy definition and full S0-S6 provenance for each comparison</x:v>
      </x:c>
      <x:c r="E9" s="40" t="str">
        <x:v>Policy-specific computational and operational result</x:v>
      </x:c>
      <x:c r="F9" s="40" t="str">
        <x:v>Transfer to another policy or physics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45" t="str">
        <x:v>priority</x:v>
      </x:c>
      <x:c r="B1" s="45" t="str">
        <x:v>action</x:v>
      </x:c>
      <x:c r="C1" s="45" t="str">
        <x:v>when</x:v>
      </x:c>
      <x:c r="D1" s="45" t="str">
        <x:v>depends_on</x:v>
      </x:c>
      <x:c r="E1" s="45" t="str">
        <x:v>deliverable</x:v>
      </x:c>
      <x:c r="F1" s="45" t="str">
        <x:v>decision_rule</x:v>
      </x:c>
      <x:c r="G1" s="45" t="str">
        <x:v>owner</x:v>
      </x:c>
    </x:row>
    <x:row r="2" ht="36" hidden="0" customHeight="1">
      <x:c r="A2" s="52" t="str">
        <x:v>1</x:v>
      </x:c>
      <x:c r="B2" s="40" t="str">
        <x:v>Do not duplicate currently launched cells; monitor the grouped jobs</x:v>
      </x:c>
      <x:c r="C2" s="40" t="str">
        <x:v>now</x:v>
      </x:c>
      <x:c r="D2" s="40" t="str">
        <x:v>none</x:v>
      </x:c>
      <x:c r="E2" s="40" t="str">
        <x:v>Queue observation</x:v>
      </x:c>
      <x:c r="F2" s="40" t="str">
        <x:v>An absent task is unknown until sacct plus artifact validation</x:v>
      </x:c>
      <x:c r="G2" s="40" t="str">
        <x:v>cluster operator</x:v>
      </x:c>
    </x:row>
    <x:row r="3" ht="48" hidden="0" customHeight="1">
      <x:c r="A3" s="52" t="str">
        <x:v>2</x:v>
      </x:c>
      <x:c r="B3" s="40" t="str">
        <x:v>Audit the medium and extension roots</x:v>
      </x:c>
      <x:c r="C3" s="40" t="str">
        <x:v>when their arrays leave squeue</x:v>
      </x:c>
      <x:c r="D3" s="40" t="str">
        <x:v>current Stage-1 jobs</x:v>
      </x:c>
      <x:c r="E3" s="40" t="str">
        <x:v>Two medium_event_summary.csv files</x:v>
      </x:c>
      <x:c r="F3" s="40" t="str">
        <x:v>Separate certified wall-cap build failure and external/preemption outcomes</x:v>
      </x:c>
      <x:c r="G3" s="40" t="str">
        <x:v>cluster operator</x:v>
      </x:c>
    </x:row>
    <x:row r="4" ht="36" hidden="0" customHeight="1">
      <x:c r="A4" s="52" t="str">
        <x:v>3</x:v>
      </x:c>
      <x:c r="B4" s="40" t="str">
        <x:v>Implement and run the 172800-second HiGHS retry auditor</x:v>
      </x:c>
      <x:c r="C4" s="40" t="str">
        <x:v>when jobs 922864 and 922865 leave squeue</x:v>
      </x:c>
      <x:c r="D4" s="40" t="str">
        <x:v>48h pool retries</x:v>
      </x:c>
      <x:c r="E4" s="40" t="str">
        <x:v>backend_retry172800.csv for Panels A and B</x:v>
      </x:c>
      <x:c r="F4" s="40" t="str">
        <x:v>Count a pool proof only when the artifact and physical witness validate</x:v>
      </x:c>
      <x:c r="G4" s="40" t="str">
        <x:v>research manager then cluster operator</x:v>
      </x:c>
    </x:row>
    <x:row r="5" ht="60" hidden="0" customHeight="1">
      <x:c r="A5" s="52" t="str">
        <x:v>4</x:v>
      </x:c>
      <x:c r="B5" s="40" t="str">
        <x:v>Promote certified small-extension cells through fleet-only CG and physical witness validation</x:v>
      </x:c>
      <x:c r="C5" s="40" t="str">
        <x:v>after extension audit</x:v>
      </x:c>
      <x:c r="D5" s="40" t="str">
        <x:v>certified S1 rows</x:v>
      </x:c>
      <x:c r="E5" s="40" t="str">
        <x:v>S2-S4 evidence table</x:v>
      </x:c>
      <x:c r="F5" s="40" t="str">
        <x:v>Replication counts toward G1 only after the proof sandwich closes</x:v>
      </x:c>
      <x:c r="G5" s="40" t="str">
        <x:v>research manager</x:v>
      </x:c>
    </x:row>
    <x:row r="6" ht="48" hidden="0" customHeight="1">
      <x:c r="A6" s="52" t="str">
        <x:v>5</x:v>
      </x:c>
      <x:c r="B6" s="40" t="str">
        <x:v>Classify the first bottleneck for every medium and large row</x:v>
      </x:c>
      <x:c r="C6" s="40" t="str">
        <x:v>after medium and extension audits</x:v>
      </x:c>
      <x:c r="D6" s="40" t="str">
        <x:v>audited telemetry</x:v>
      </x:c>
      <x:c r="E6" s="40" t="str">
        <x:v>Bottleneck classification CSV</x:v>
      </x:c>
      <x:c r="F6" s="40" t="str">
        <x:v>Use first limiting stage and censor-aware time; do not label all wall caps as pricing</x:v>
      </x:c>
      <x:c r="G6" s="40" t="str">
        <x:v>research manager</x:v>
      </x:c>
    </x:row>
    <x:row r="7" ht="48" hidden="0" customHeight="1">
      <x:c r="A7" s="52" t="str">
        <x:v>6</x:v>
      </x:c>
      <x:c r="B7" s="40" t="str">
        <x:v>Design the missing k10 and stratified 72-cell medium sample</x:v>
      </x:c>
      <x:c r="C7" s="40" t="str">
        <x:v>after feasibility of current legacy probes is known</x:v>
      </x:c>
      <x:c r="D7" s="40" t="str">
        <x:v>audited k8/13/20 behavior</x:v>
      </x:c>
      <x:c r="E7" s="40" t="str">
        <x:v>Predeclared sample manifest</x:v>
      </x:c>
      <x:c r="F7" s="40" t="str">
        <x:v>Balance bus count replicate trip count and route-overlap/separability covariates</x:v>
      </x:c>
      <x:c r="G7" s="40" t="str">
        <x:v>research manager</x:v>
      </x:c>
    </x:row>
    <x:row r="8" ht="60" hidden="0" customHeight="1">
      <x:c r="A8" s="52" t="str">
        <x:v>7</x:v>
      </x:c>
      <x:c r="B8" s="40" t="str">
        <x:v>Launch downstream target and MIP work only on scientifically qualified rows</x:v>
      </x:c>
      <x:c r="C8" s="40" t="str">
        <x:v>after S1/S2 audit</x:v>
      </x:c>
      <x:c r="D8" s="40" t="str">
        <x:v>validated immutable inputs</x:v>
      </x:c>
      <x:c r="E8" s="40" t="str">
        <x:v>Stage-specific campaign records</x:v>
      </x:c>
      <x:c r="F8" s="40" t="str">
        <x:v>Do not spend MIP hours on uncertified or mismatched inputs unless explicitly studying timed incumbents</x:v>
      </x:c>
      <x:c r="G8" s="40" t="str">
        <x:v>research manager and cluster operator</x:v>
      </x:c>
    </x:row>
    <x:row r="9" ht="48" hidden="0" customHeight="1">
      <x:c r="A9" s="52" t="str">
        <x:v>8</x:v>
      </x:c>
      <x:c r="B9" s="40" t="str">
        <x:v>Merge curator ID registry validation and record corrections</x:v>
      </x:c>
      <x:c r="C9" s="40" t="str">
        <x:v>before publication freeze</x:v>
      </x:c>
      <x:c r="D9" s="40" t="str">
        <x:v>review of curator branch</x:v>
      </x:c>
      <x:c r="E9" s="40" t="str">
        <x:v>Canonical records commit</x:v>
      </x:c>
      <x:c r="F9" s="40" t="str">
        <x:v>No table row enters publication data without stable instance and artifact identifiers</x:v>
      </x:c>
      <x:c r="G9" s="40" t="str">
        <x:v>research manager</x:v>
      </x:c>
    </x:row>
    <x:row r="10" ht="60" hidden="0" customHeight="1">
      <x:c r="A10" s="52" t="str">
        <x:v>9</x:v>
      </x:c>
      <x:c r="B10" s="40" t="str">
        <x:v>Restore the Unicorn Gurobi license path as an infrastructure task</x:v>
      </x:c>
      <x:c r="C10" s="40" t="str">
        <x:v>when convenient</x:v>
      </x:c>
      <x:c r="D10" s="40" t="str">
        <x:v>valid named-user or cluster license</x:v>
      </x:c>
      <x:c r="E10" s="40" t="str">
        <x:v>Passing compute-node license probe</x:v>
      </x:c>
      <x:c r="F10" s="40" t="str">
        <x:v>HiGHS results remain valid; Gurobi is an additional backend and replication path not a reason to discard HiGHS</x:v>
      </x:c>
      <x:c r="G10" s="40" t="str">
        <x:v>cluster operator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5" hidden="0" customHeight="1">
      <x:c r="A1" s="45" t="str">
        <x:v>evidence_era</x:v>
      </x:c>
      <x:c r="B1" s="45" t="str">
        <x:v>physics</x:v>
      </x:c>
      <x:c r="C1" s="45" t="str">
        <x:v>representation</x:v>
      </x:c>
      <x:c r="D1" s="45" t="str">
        <x:v>target_k</x:v>
      </x:c>
      <x:c r="E1" s="45" t="str">
        <x:v>replicates_or_attempts</x:v>
      </x:c>
      <x:c r="F1" s="45" t="str">
        <x:v>stage_reached</x:v>
      </x:c>
      <x:c r="G1" s="45" t="str">
        <x:v>certified_count</x:v>
      </x:c>
      <x:c r="H1" s="45" t="str">
        <x:v>observed_state</x:v>
      </x:c>
      <x:c r="I1" s="45" t="str">
        <x:v>interpretation</x:v>
      </x:c>
      <x:c r="J1" s="45" t="str">
        <x:v>source</x:v>
      </x:c>
    </x:row>
    <x:row r="2" ht="60" hidden="0" customHeight="1">
      <x:c r="A2" s="53" t="str">
        <x:v>historical</x:v>
      </x:c>
      <x:c r="B2" s="40" t="str">
        <x:v>300/300</x:v>
      </x:c>
      <x:c r="C2" s="40" t="str">
        <x:v>uniform_15_10</x:v>
      </x:c>
      <x:c r="D2" s="40" t="str">
        <x:v>8</x:v>
      </x:c>
      <x:c r="E2" s="40" t="str">
        <x:v>3</x:v>
      </x:c>
      <x:c r="F2" s="40" t="str">
        <x:v>S1</x:v>
      </x:c>
      <x:c r="G2" s="40" t="str">
        <x:v>1</x:v>
      </x:c>
      <x:c r="H2" s="40" t="str">
        <x:v>One certified; two uncertified after capped runs</x:v>
      </x:c>
      <x:c r="I2" s="40" t="str">
        <x:v>Proof boundary begins near k=8 in the old representation; not transferable to current physics</x:v>
      </x:c>
      <x:c r="J2" s="40" t="str">
        <x:v>analysis/scale_ladder/ll_20260820c/ladder_summary.csv</x:v>
      </x:c>
    </x:row>
    <x:row r="3" ht="36" hidden="0" customHeight="1">
      <x:c r="A3" s="53" t="str">
        <x:v>historical</x:v>
      </x:c>
      <x:c r="B3" s="40" t="str">
        <x:v>300/300</x:v>
      </x:c>
      <x:c r="C3" s="40" t="str">
        <x:v>uniform_15_10</x:v>
      </x:c>
      <x:c r="D3" s="40" t="str">
        <x:v>13</x:v>
      </x:c>
      <x:c r="E3" s="40" t="str">
        <x:v>3</x:v>
      </x:c>
      <x:c r="F3" s="40" t="str">
        <x:v>S1</x:v>
      </x:c>
      <x:c r="G3" s="40" t="str">
        <x:v>0</x:v>
      </x:c>
      <x:c r="H3" s="40" t="str">
        <x:v>All uncertified at roughly 6h/2000 iterations; route weights near 13</x:v>
      </x:c>
      <x:c r="I3" s="40" t="str">
        <x:v>Combined-cost CG convergence/pricing was limiting</x:v>
      </x:c>
      <x:c r="J3" s="40" t="str">
        <x:v>analysis/scale_ladder/ll_20260820c/ladder_summary.csv</x:v>
      </x:c>
    </x:row>
    <x:row r="4" ht="36" hidden="0" customHeight="1">
      <x:c r="A4" s="53" t="str">
        <x:v>historical</x:v>
      </x:c>
      <x:c r="B4" s="40" t="str">
        <x:v>300/300</x:v>
      </x:c>
      <x:c r="C4" s="40" t="str">
        <x:v>uniform_15_10</x:v>
      </x:c>
      <x:c r="D4" s="40" t="str">
        <x:v>20</x:v>
      </x:c>
      <x:c r="E4" s="40" t="str">
        <x:v>3</x:v>
      </x:c>
      <x:c r="F4" s="40" t="str">
        <x:v>S1</x:v>
      </x:c>
      <x:c r="G4" s="40" t="str">
        <x:v>0</x:v>
      </x:c>
      <x:c r="H4" s="40" t="str">
        <x:v>All uncertified at roughly 6-8.25h; route weights near 20</x:v>
      </x:c>
      <x:c r="I4" s="40" t="str">
        <x:v>Near-target incumbents did not constitute proof</x:v>
      </x:c>
      <x:c r="J4" s="40" t="str">
        <x:v>analysis/scale_ladder/ll_20260820c/ladder_summary.csv</x:v>
      </x:c>
    </x:row>
    <x:row r="5" ht="36" hidden="0" customHeight="1">
      <x:c r="A5" s="53" t="str">
        <x:v>historical</x:v>
      </x:c>
      <x:c r="B5" s="40" t="str">
        <x:v>300/300</x:v>
      </x:c>
      <x:c r="C5" s="40" t="str">
        <x:v>uniform_15_10</x:v>
      </x:c>
      <x:c r="D5" s="40" t="str">
        <x:v>30</x:v>
      </x:c>
      <x:c r="E5" s="40" t="str">
        <x:v>3</x:v>
      </x:c>
      <x:c r="F5" s="40" t="str">
        <x:v>S1</x:v>
      </x:c>
      <x:c r="G5" s="40" t="str">
        <x:v>0</x:v>
      </x:c>
      <x:c r="H5" s="40" t="str">
        <x:v>Mid-flight/uncertified after roughly 8.25h with very negative reduced cost</x:v>
      </x:c>
      <x:c r="I5" s="40" t="str">
        <x:v>Still far from LP certification</x:v>
      </x:c>
      <x:c r="J5" s="40" t="str">
        <x:v>analysis/scale_ladder/ll_20260820c/ladder_summary.csv</x:v>
      </x:c>
    </x:row>
    <x:row r="6" ht="36" hidden="0" customHeight="1">
      <x:c r="A6" s="53" t="str">
        <x:v>historical</x:v>
      </x:c>
      <x:c r="B6" s="40" t="str">
        <x:v>300/300</x:v>
      </x:c>
      <x:c r="C6" s="40" t="str">
        <x:v>uniform_15_10</x:v>
      </x:c>
      <x:c r="D6" s="40" t="str">
        <x:v>40</x:v>
      </x:c>
      <x:c r="E6" s="40" t="str">
        <x:v>2</x:v>
      </x:c>
      <x:c r="F6" s="40" t="str">
        <x:v>S1</x:v>
      </x:c>
      <x:c r="G6" s="40" t="str">
        <x:v>0</x:v>
      </x:c>
      <x:c r="H6" s="40" t="str">
        <x:v>Two k40_s2 attempts mid-flight/uncertified after roughly 8.2h</x:v>
      </x:c>
      <x:c r="I6" s="40" t="str">
        <x:v>Full-size result is a computational boundary observation only</x:v>
      </x:c>
      <x:c r="J6" s="40" t="str">
        <x:v>analysis/scale_ladder/ll_20260820c/ladder_summary.csv</x:v>
      </x:c>
    </x:row>
    <x:row r="7" ht="24" hidden="0" customHeight="1">
      <x:c r="A7" s="47" t="str">
        <x:v>current</x:v>
      </x:c>
      <x:c r="B7" s="40" t="str">
        <x:v>240/240</x:v>
      </x:c>
      <x:c r="C7" s="40" t="str">
        <x:v>event_2p5_event5</x:v>
      </x:c>
      <x:c r="D7" s="40" t="str">
        <x:v>8</x:v>
      </x:c>
      <x:c r="E7" s="40" t="str">
        <x:v>6</x:v>
      </x:c>
      <x:c r="F7" s="40" t="str">
        <x:v>S1</x:v>
      </x:c>
      <x:c r="G7" s="40" t="str"/>
      <x:c r="H7" s="40" t="str">
        <x:v>Launched; two active and four absent/unaudited</x:v>
      </x:c>
      <x:c r="I7" s="40" t="str">
        <x:v>Current-model evidence pending audit</x:v>
      </x:c>
      <x:c r="J7" s="40" t="str">
        <x:v>job 922550 snapshot</x:v>
      </x:c>
    </x:row>
    <x:row r="8" ht="24" hidden="0" customHeight="1">
      <x:c r="A8" s="47" t="str">
        <x:v>current</x:v>
      </x:c>
      <x:c r="B8" s="40" t="str">
        <x:v>240/240</x:v>
      </x:c>
      <x:c r="C8" s="40" t="str">
        <x:v>event_2p5_event5</x:v>
      </x:c>
      <x:c r="D8" s="40" t="str">
        <x:v>13</x:v>
      </x:c>
      <x:c r="E8" s="40" t="str">
        <x:v>6</x:v>
      </x:c>
      <x:c r="F8" s="40" t="str">
        <x:v>S1</x:v>
      </x:c>
      <x:c r="G8" s="40" t="str"/>
      <x:c r="H8" s="40" t="str">
        <x:v>All six active</x:v>
      </x:c>
      <x:c r="I8" s="40" t="str">
        <x:v>Current-model evidence pending audit</x:v>
      </x:c>
      <x:c r="J8" s="40" t="str">
        <x:v>job 922551 snapshot</x:v>
      </x:c>
    </x:row>
    <x:row r="9" ht="24" hidden="0" customHeight="1">
      <x:c r="A9" s="47" t="str">
        <x:v>current</x:v>
      </x:c>
      <x:c r="B9" s="40" t="str">
        <x:v>240/240</x:v>
      </x:c>
      <x:c r="C9" s="40" t="str">
        <x:v>event_2p5_event5</x:v>
      </x:c>
      <x:c r="D9" s="40" t="str">
        <x:v>20</x:v>
      </x:c>
      <x:c r="E9" s="40" t="str">
        <x:v>6</x:v>
      </x:c>
      <x:c r="F9" s="40" t="str">
        <x:v>S1</x:v>
      </x:c>
      <x:c r="G9" s="40" t="str"/>
      <x:c r="H9" s="40" t="str">
        <x:v>Five active and one absent/unaudited</x:v>
      </x:c>
      <x:c r="I9" s="40" t="str">
        <x:v>Current-model evidence pending audit</x:v>
      </x:c>
      <x:c r="J9" s="40" t="str">
        <x:v>job 922553 snapshot</x:v>
      </x:c>
    </x:row>
    <x:row r="10" ht="24" hidden="0" customHeight="1">
      <x:c r="A10" s="47" t="str">
        <x:v>current</x:v>
      </x:c>
      <x:c r="B10" s="40" t="str">
        <x:v>240/240</x:v>
      </x:c>
      <x:c r="C10" s="40" t="str">
        <x:v>event_2p5_event5</x:v>
      </x:c>
      <x:c r="D10" s="40" t="str">
        <x:v>30</x:v>
      </x:c>
      <x:c r="E10" s="40" t="str">
        <x:v>3</x:v>
      </x:c>
      <x:c r="F10" s="40" t="str">
        <x:v>S1</x:v>
      </x:c>
      <x:c r="G10" s="40" t="str"/>
      <x:c r="H10" s="40" t="str">
        <x:v>All three active</x:v>
      </x:c>
      <x:c r="I10" s="40" t="str">
        <x:v>Current-model boundary evidence pending audit</x:v>
      </x:c>
      <x:c r="J10" s="40" t="str">
        <x:v>job 922875 snapshot</x:v>
      </x:c>
    </x:row>
    <x:row r="11" ht="36" hidden="0" customHeight="1">
      <x:c r="A11" s="47" t="str">
        <x:v>current</x:v>
      </x:c>
      <x:c r="B11" s="40" t="str">
        <x:v>240/240</x:v>
      </x:c>
      <x:c r="C11" s="40" t="str">
        <x:v>event_2p5_event5</x:v>
      </x:c>
      <x:c r="D11" s="40" t="str">
        <x:v>40</x:v>
      </x:c>
      <x:c r="E11" s="40" t="str">
        <x:v>1</x:v>
      </x:c>
      <x:c r="F11" s="40" t="str">
        <x:v>S1</x:v>
      </x:c>
      <x:c r="G11" s="40" t="str"/>
      <x:c r="H11" s="40" t="str">
        <x:v>k40_s2 with 947 trips absent from queue and unaudited</x:v>
      </x:c>
      <x:c r="I11" s="40" t="str">
        <x:v>Inspect accounting and artifact before interpreting</x:v>
      </x:c>
      <x:c r="J11" s="40" t="str">
        <x:v>job 922876 snapshot</x:v>
      </x:c>
    </x:row>
  </x:sheetData>
  <x:pageMargins left="0.7" right="0.7" top="0.75" bottom="0.75" header="0.3" footer="0.3"/>
</x:worksheet>
</file>